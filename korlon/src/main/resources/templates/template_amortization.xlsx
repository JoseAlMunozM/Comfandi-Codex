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iegoFernandoPérezEs\Documents\Comfandi\comfandi-cuentas-cobro\korlon\src\main\resources\templates\"/>
    </mc:Choice>
  </mc:AlternateContent>
  <xr:revisionPtr revIDLastSave="0" documentId="13_ncr:1_{C4B9D11F-92FA-49FA-809D-8E9AAFC956DD}" xr6:coauthVersionLast="47" xr6:coauthVersionMax="47" xr10:uidLastSave="{00000000-0000-0000-0000-000000000000}"/>
  <bookViews>
    <workbookView xWindow="29970" yWindow="1170" windowWidth="21600" windowHeight="11295" tabRatio="821" xr2:uid="{00000000-000D-0000-FFFF-FFFF00000000}"/>
  </bookViews>
  <sheets>
    <sheet name="BD" sheetId="5" r:id="rId1"/>
    <sheet name="Datos plantilla" sheetId="23" r:id="rId2"/>
    <sheet name="Plantilla Amortización" sheetId="13" r:id="rId3"/>
    <sheet name="Validación plantilla" sheetId="25" r:id="rId4"/>
    <sheet name="Tipificación" sheetId="2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5" l="1"/>
  <c r="M5" i="25"/>
  <c r="M4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tc={F71FFCF4-6EB8-43FF-908A-9AFEE1314B7E}</author>
    <author>tc={3DE09953-51A7-4DB4-9783-6C54C628FC13}</author>
  </authors>
  <commentList>
    <comment ref="J2" authorId="0" shapeId="0" xr:uid="{F71FFCF4-6EB8-43FF-908A-9AFEE1314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Seguir el consecutivo en orden</t>
      </text>
    </comment>
    <comment ref="K2" authorId="1" shapeId="0" xr:uid="{3DE09953-51A7-4DB4-9783-6C54C628FC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cambiar, son cód de SAP</t>
      </text>
    </comment>
  </commentList>
</comments>
</file>

<file path=xl/sharedStrings.xml><?xml version="1.0" encoding="utf-8"?>
<sst xmlns="http://schemas.openxmlformats.org/spreadsheetml/2006/main" count="181" uniqueCount="139">
  <si>
    <t>CALI</t>
  </si>
  <si>
    <t>Cuenta de Cédula</t>
  </si>
  <si>
    <t>BUENAVENTURA</t>
  </si>
  <si>
    <t>BUGA</t>
  </si>
  <si>
    <t>CARTAGO</t>
  </si>
  <si>
    <t>PALMIRA</t>
  </si>
  <si>
    <t>TULUA</t>
  </si>
  <si>
    <t>REGIONAL</t>
  </si>
  <si>
    <t>Valor</t>
  </si>
  <si>
    <t>Empresa</t>
  </si>
  <si>
    <t>Cédula</t>
  </si>
  <si>
    <t>Nombre Completo</t>
  </si>
  <si>
    <t>Dirección</t>
  </si>
  <si>
    <t>Teléfono</t>
  </si>
  <si>
    <t>Ciudad</t>
  </si>
  <si>
    <t>Correo Electrónico</t>
  </si>
  <si>
    <t>Nombre del programa</t>
  </si>
  <si>
    <t>Modalidad</t>
  </si>
  <si>
    <t>Regional Cobro</t>
  </si>
  <si>
    <t>Regional domicilio</t>
  </si>
  <si>
    <t>Observación
Beneficiario / Cotizante</t>
  </si>
  <si>
    <t>Numero De Documento De Cotizante</t>
  </si>
  <si>
    <t>Categoria</t>
  </si>
  <si>
    <t>Fecha Validacion Inicial</t>
  </si>
  <si>
    <t xml:space="preserve"> Validación / Revalidacion Afiliacion A Caja</t>
  </si>
  <si>
    <t>Validado Por</t>
  </si>
  <si>
    <t>Fecha Envío BD Cobro</t>
  </si>
  <si>
    <t>% Avance del programa</t>
  </si>
  <si>
    <t>Fecha de inicio del programa</t>
  </si>
  <si>
    <t>Fecha de finalizacion del programa</t>
  </si>
  <si>
    <t>Fecha De Registro Sise</t>
  </si>
  <si>
    <t>Fecha Evaluación Sise</t>
  </si>
  <si>
    <t>Proveedor</t>
  </si>
  <si>
    <t>Fecha Remision</t>
  </si>
  <si>
    <t>Afiliada</t>
  </si>
  <si>
    <t>Fecha de afiliacion</t>
  </si>
  <si>
    <t>Fecha validacion afiliacion</t>
  </si>
  <si>
    <t>Estado parafiscales</t>
  </si>
  <si>
    <t>Fecha validacion parafiscales</t>
  </si>
  <si>
    <t>Nombre de quien realiza la validacion/afiliacion</t>
  </si>
  <si>
    <t>Nombre de quien realiza validacion/parafiscales</t>
  </si>
  <si>
    <t>Numero colaboradores</t>
  </si>
  <si>
    <t>Tipo de plantilla</t>
  </si>
  <si>
    <t>Concepto</t>
  </si>
  <si>
    <t>PERS</t>
  </si>
  <si>
    <t>Fecha</t>
  </si>
  <si>
    <t>Modalidad resumida</t>
  </si>
  <si>
    <t>Cuenta ingreso</t>
  </si>
  <si>
    <t>CEBE</t>
  </si>
  <si>
    <t>TEXTO REGISTRO</t>
  </si>
  <si>
    <t>ASIGNACION</t>
  </si>
  <si>
    <t>Longitud texto</t>
  </si>
  <si>
    <t>CONSECUTIVO DEL DOCUMENTO</t>
  </si>
  <si>
    <t>FECHA DOCUMENTO</t>
  </si>
  <si>
    <t>CLASE DOCUMENTO</t>
  </si>
  <si>
    <t>SOCIEDAD</t>
  </si>
  <si>
    <t>FECHA CONTABILIDAD</t>
  </si>
  <si>
    <t>PERIODO</t>
  </si>
  <si>
    <t>MONEDA</t>
  </si>
  <si>
    <t>REFERENCIA</t>
  </si>
  <si>
    <t>TEXTO CABECERA DOC.</t>
  </si>
  <si>
    <t>No. DE APUNTE CONTABLE DENTRO DEL DOCUMENTO</t>
  </si>
  <si>
    <t>CLAVE DE CONTABILIDAD</t>
  </si>
  <si>
    <t>INDICADOR CME (Cuenta de mayor especial)</t>
  </si>
  <si>
    <t>No. DE DEUDOR (CLIENTE)</t>
  </si>
  <si>
    <t>No. DE ACREEDOR (PROVEEDOR)</t>
  </si>
  <si>
    <t>CUENTA DE MAYOR</t>
  </si>
  <si>
    <t>INDICADOR DE IMPUESTOS IVA</t>
  </si>
  <si>
    <t>FECHA VALOR</t>
  </si>
  <si>
    <t>FECHA BASE PARA VENCIMIENTO</t>
  </si>
  <si>
    <t>CLAVE DE CONDICION DE PAGO</t>
  </si>
  <si>
    <t>No.  DE ASIGNACION</t>
  </si>
  <si>
    <t>TEXTO</t>
  </si>
  <si>
    <t>TEXTO NOTA</t>
  </si>
  <si>
    <t>Centro de Beneficio</t>
  </si>
  <si>
    <t>Centro de costo</t>
  </si>
  <si>
    <t>Orden CO</t>
  </si>
  <si>
    <t>CLAVE DE REFERENCIA 1</t>
  </si>
  <si>
    <t>CLAVE DE REFERENCIA 2</t>
  </si>
  <si>
    <t>CLAVE DE REFERENCIA 3</t>
  </si>
  <si>
    <t>posición presupuestaria</t>
  </si>
  <si>
    <t>Centro gestor</t>
  </si>
  <si>
    <t>Area</t>
  </si>
  <si>
    <t>Fondo</t>
  </si>
  <si>
    <t>Programa</t>
  </si>
  <si>
    <t>Documento presupuestal</t>
  </si>
  <si>
    <t>INDICADOR DE RETENCION DE IMPUESTO</t>
  </si>
  <si>
    <t>SEDE</t>
  </si>
  <si>
    <t>F050011900</t>
  </si>
  <si>
    <t>ACTIVOS - EMPRENDI</t>
  </si>
  <si>
    <t>F030011900</t>
  </si>
  <si>
    <t>F060011900</t>
  </si>
  <si>
    <t>F020011900</t>
  </si>
  <si>
    <t>F040011900</t>
  </si>
  <si>
    <t>F010091900</t>
  </si>
  <si>
    <t>PORTAFOLIO</t>
  </si>
  <si>
    <t>Producto</t>
  </si>
  <si>
    <t>Producto resumido</t>
  </si>
  <si>
    <t>Pruducto Key</t>
  </si>
  <si>
    <t>Tarifa</t>
  </si>
  <si>
    <t>Nombre Programa</t>
  </si>
  <si>
    <t>Anticipo 1</t>
  </si>
  <si>
    <t>Anticipo 2</t>
  </si>
  <si>
    <t>Anticipo 3</t>
  </si>
  <si>
    <t>Item</t>
  </si>
  <si>
    <t>Clave</t>
  </si>
  <si>
    <t>Cuenta</t>
  </si>
  <si>
    <t>Suma de VALOR IMPORTE</t>
  </si>
  <si>
    <t>Cuentas</t>
  </si>
  <si>
    <t>Validación</t>
  </si>
  <si>
    <t>CXC 11 CAPAC</t>
  </si>
  <si>
    <t>ETAPA</t>
  </si>
  <si>
    <t>PROG CREACTIVATE</t>
  </si>
  <si>
    <t>Suma de Valor Anticipo</t>
  </si>
  <si>
    <t>Se debe generar consecutivo de acuerdo al comprobante.Por cada documento</t>
  </si>
  <si>
    <t>fecha de RECIBO DE EL DOCUMENTO  COMERCIAL (dia. Mes.año)</t>
  </si>
  <si>
    <t>LA CLASIFICACION  ASIGANADA PARA ESTE COMPROBANTE ES S3 DEACUERDO A</t>
  </si>
  <si>
    <t>CONSTANTE "1000"</t>
  </si>
  <si>
    <t>FECHA DE COMPROBANTE , FECHA CON LA CUAL QUEDARA CONTABILIZADA</t>
  </si>
  <si>
    <t>NO APLICA BLANCO</t>
  </si>
  <si>
    <t xml:space="preserve"> COP</t>
  </si>
  <si>
    <t>SE DEBERA REGISTRAR EL NRO DE LA FACTURA  DEL PROVEEDOR</t>
  </si>
  <si>
    <t>SE REGISTRARA EL NRO DE FACTURA (NRO DE IVA O NRO DE REGISTRO CONTABLE DE LA FACTURA RECIBIDA)</t>
  </si>
  <si>
    <t>NRO DE LINEAS O REGISTROS POR COMPROBANTE O DOCUMENTO</t>
  </si>
  <si>
    <t>Para los registros contables del tercero : 21 Factura acreedor (crédito de acreedor)
21 Abono proveedor (débito a acreedor).Para las cuentas de Mayor  50: débito
 50: Crédito
(Las cuantas de tercero se identifican en SIGED con 500..)</t>
  </si>
  <si>
    <t>APLICARA DE ACUERDO A LA TABLA DE HOMOLOGACION de líneas de producto vs cuentas contables SAP. EXCEPTO CUANDO LA CLAVE DE CONTABILIDAD SEA 21 Ó 21 , EN ESTOS CASOS SE DEBERA REGISTRAR LA CUENTA "2205010101".</t>
  </si>
  <si>
    <t>VALOR IMPORTE - CUANDO LA CLAVE DE CONTABILIDAD  SEA 21 Ó 21 EL VALOR DEL IMPORTE DEBERA INCLUIR EL VALOR TOTAL DE LA FACTURA  O DEVOLUCION INCLUIDO IVA  .  CUANDO LA CLAVE DE CONTABILIDAD SEA 50 SE DEBERA REGISTRAR EL VALOR DEL INVENTARIO INCLUIDO EL IVA</t>
  </si>
  <si>
    <t>Se debera registrar de acuerdo a la tabla de homologación de concepto de iva ,porcentajes de iva  v.s indicador de iva SAP. Esto aplicara para las cuentas de inventario</t>
  </si>
  <si>
    <t>SE REGISTRARA LA CONSTANTE CORRESPONDIENTE DE  ACUERDO A LA TABLA DE CONDICION DE PAGO ADJUNTA . TENIENDO COMO CRITERIO EL VALOR  MAS APROXIMADO POR EXCESO O POR DEFECTO</t>
  </si>
  <si>
    <t>DE ACUERDO A LA HOMOLOGACION CON CENTROS DE COSTO SIGED VS CENTROS DE BENEFICIO SAP</t>
  </si>
  <si>
    <t>Cuando la clave de contabilizacion sea igual a 21  o 21 se debera registrar en este campo el NIT de proveedor sin digito de verificacion.</t>
  </si>
  <si>
    <t>INDICADOR DE ACUERDO CON LA TABLA DE HOMOLOGACION DE INDICADORES DE RETENCION DE IMPUESTOS, INDICADORES DE RETENCION  DE CONTRIBUCIONES E INDICADORES DE DESCUENTOS ESPECIALES  VS LOS TIPOS DE DESCUENTOS</t>
  </si>
  <si>
    <t>Nit</t>
  </si>
  <si>
    <t>Valor Anticipio 1</t>
  </si>
  <si>
    <t>Valor Anticipio 2</t>
  </si>
  <si>
    <t>Valor Anticipio 3</t>
  </si>
  <si>
    <t>% Anticipo 1</t>
  </si>
  <si>
    <t>% Anticipo 2</t>
  </si>
  <si>
    <t>% Anticipo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</si>
</sst>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  <numFmt numFmtId="166" formatCode="d\.mm\.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theme="4"/>
      </patternFill>
    </fill>
    <fill>
      <patternFill patternType="solid">
        <fgColor indexed="22"/>
        <bgColor indexed="42"/>
      </patternFill>
    </fill>
    <fill>
      <patternFill patternType="solid">
        <fgColor indexed="44"/>
        <bgColor indexed="31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Border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5" fillId="0" borderId="0" xfId="38" applyFont="1" applyProtection="1"/>
    <xf numFmtId="164" fontId="5" fillId="0" borderId="0" xfId="1" applyNumberFormat="1" applyFont="1" applyProtection="1"/>
    <xf numFmtId="0" fontId="6" fillId="3" borderId="1" xfId="38" applyFont="1" applyFill="1" applyBorder="1" applyAlignment="1" applyProtection="1">
      <alignment horizontal="left" vertical="center" wrapText="1"/>
    </xf>
    <xf numFmtId="0" fontId="6" fillId="3" borderId="1" xfId="38" applyFont="1" applyFill="1" applyBorder="1" applyAlignment="1" applyProtection="1">
      <alignment horizontal="center" wrapText="1"/>
    </xf>
    <xf numFmtId="0" fontId="6" fillId="4" borderId="1" xfId="38" applyFont="1" applyFill="1" applyBorder="1" applyAlignment="1" applyProtection="1">
      <alignment horizontal="left" vertical="center" wrapText="1"/>
    </xf>
    <xf numFmtId="49" fontId="6" fillId="4" borderId="1" xfId="1" applyNumberFormat="1" applyFont="1" applyFill="1" applyBorder="1" applyAlignment="1" applyProtection="1">
      <alignment horizontal="left" vertical="center" wrapText="1"/>
    </xf>
    <xf numFmtId="0" fontId="6" fillId="3" borderId="1" xfId="38" applyFont="1" applyFill="1" applyBorder="1" applyAlignment="1" applyProtection="1">
      <alignment horizontal="left" wrapText="1"/>
    </xf>
    <xf numFmtId="0" fontId="6" fillId="0" borderId="0" xfId="38" applyFont="1" applyProtection="1"/>
    <xf numFmtId="0" fontId="7" fillId="0" borderId="0" xfId="0" applyFont="1" applyAlignment="1">
      <alignment horizontal="centerContinuous"/>
    </xf>
    <xf numFmtId="166" fontId="4" fillId="0" borderId="0" xfId="0" applyNumberFormat="1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0" borderId="1" xfId="39" applyNumberFormat="1" applyFont="1" applyBorder="1" applyAlignment="1">
      <alignment horizontal="center" vertical="center" wrapText="1"/>
    </xf>
    <xf numFmtId="165" fontId="2" fillId="0" borderId="1" xfId="2" applyNumberFormat="1" applyFont="1" applyFill="1" applyBorder="1"/>
    <xf numFmtId="0" fontId="2" fillId="0" borderId="8" xfId="0" applyFont="1" applyBorder="1"/>
    <xf numFmtId="0" fontId="4" fillId="5" borderId="3" xfId="0" applyFont="1" applyFill="1" applyBorder="1" applyAlignment="1">
      <alignment vertical="center"/>
    </xf>
    <xf numFmtId="0" fontId="2" fillId="0" borderId="10" xfId="0" applyFont="1" applyBorder="1"/>
    <xf numFmtId="9" fontId="2" fillId="0" borderId="9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9" fontId="2" fillId="0" borderId="2" xfId="79" applyFont="1" applyFill="1" applyBorder="1" applyAlignment="1">
      <alignment horizontal="center"/>
    </xf>
    <xf numFmtId="0" fontId="2" fillId="0" borderId="2" xfId="0" applyFont="1" applyBorder="1"/>
    <xf numFmtId="0" fontId="2" fillId="0" borderId="8" xfId="0" applyFont="1" applyBorder="1" applyAlignment="1">
      <alignment horizontal="center"/>
    </xf>
    <xf numFmtId="0" fontId="2" fillId="0" borderId="7" xfId="0" applyFont="1" applyBorder="1"/>
    <xf numFmtId="165" fontId="2" fillId="0" borderId="2" xfId="2" applyNumberFormat="1" applyFont="1" applyFill="1" applyBorder="1"/>
    <xf numFmtId="14" fontId="2" fillId="0" borderId="2" xfId="0" applyNumberFormat="1" applyFont="1" applyBorder="1"/>
    <xf numFmtId="0" fontId="2" fillId="0" borderId="4" xfId="0" applyFont="1" applyBorder="1"/>
    <xf numFmtId="0" fontId="2" fillId="0" borderId="0" xfId="0" applyFont="1"/>
    <xf numFmtId="14" fontId="8" fillId="0" borderId="1" xfId="0" applyNumberFormat="1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0" fillId="0" borderId="13" xfId="1" applyNumberFormat="1" applyFont="1" applyFill="1" applyBorder="1"/>
    <xf numFmtId="0" fontId="0" fillId="0" borderId="1" xfId="1" applyNumberFormat="1" applyFont="1" applyFill="1" applyBorder="1"/>
    <xf numFmtId="0" fontId="0" fillId="0" borderId="1" xfId="0" applyFill="1" applyBorder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Continuous"/>
    </xf>
    <xf numFmtId="0" fontId="4" fillId="5" borderId="0" xfId="0" applyFont="1" applyFill="1" applyAlignment="1">
      <alignment horizontal="center" vertical="center"/>
    </xf>
    <xf numFmtId="0" fontId="4" fillId="6" borderId="3" xfId="0" applyFont="1" applyFill="1" applyBorder="1"/>
    <xf numFmtId="0" fontId="4" fillId="0" borderId="1" xfId="0" applyFont="1" applyBorder="1"/>
    <xf numFmtId="0" fontId="0" fillId="0" borderId="1" xfId="0" applyBorder="1"/>
    <xf numFmtId="164" fontId="4" fillId="6" borderId="3" xfId="0" applyNumberFormat="1" applyFont="1" applyFill="1" applyBorder="1"/>
    <xf numFmtId="14" fontId="9" fillId="2" borderId="13" xfId="0" applyNumberFormat="1" applyFont="1" applyFill="1" applyBorder="1" applyAlignment="1">
      <alignment horizontal="left" vertical="center" wrapText="1"/>
    </xf>
    <xf numFmtId="14" fontId="9" fillId="2" borderId="13" xfId="0" applyNumberFormat="1" applyFont="1" applyFill="1" applyBorder="1" applyAlignment="1">
      <alignment horizontal="center" vertical="center" wrapText="1"/>
    </xf>
    <xf numFmtId="9" fontId="9" fillId="2" borderId="13" xfId="79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center" vertical="center" wrapText="1"/>
    </xf>
    <xf numFmtId="14" fontId="9" fillId="2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80">
    <cellStyle name="Excel Built-in Normal" xfId="38" xr:uid="{00000000-0005-0000-0000-000000000000}"/>
    <cellStyle name="Millares" xfId="1" builtinId="3"/>
    <cellStyle name="Millares 2" xfId="6" xr:uid="{00000000-0005-0000-0000-000004000000}"/>
    <cellStyle name="Millares 2 2" xfId="10" xr:uid="{00000000-0005-0000-0000-000005000000}"/>
    <cellStyle name="Millares 2 2 2" xfId="18" xr:uid="{00000000-0005-0000-0000-000006000000}"/>
    <cellStyle name="Millares 2 2 2 2" xfId="36" xr:uid="{00000000-0005-0000-0000-000007000000}"/>
    <cellStyle name="Millares 2 2 2 2 2" xfId="76" xr:uid="{00000000-0005-0000-0000-000008000000}"/>
    <cellStyle name="Millares 2 2 2 3" xfId="58" xr:uid="{00000000-0005-0000-0000-000009000000}"/>
    <cellStyle name="Millares 2 2 3" xfId="28" xr:uid="{00000000-0005-0000-0000-00000A000000}"/>
    <cellStyle name="Millares 2 2 3 2" xfId="68" xr:uid="{00000000-0005-0000-0000-00000B000000}"/>
    <cellStyle name="Millares 2 2 4" xfId="50" xr:uid="{00000000-0005-0000-0000-00000C000000}"/>
    <cellStyle name="Millares 2 3" xfId="14" xr:uid="{00000000-0005-0000-0000-00000D000000}"/>
    <cellStyle name="Millares 2 3 2" xfId="32" xr:uid="{00000000-0005-0000-0000-00000E000000}"/>
    <cellStyle name="Millares 2 3 2 2" xfId="72" xr:uid="{00000000-0005-0000-0000-00000F000000}"/>
    <cellStyle name="Millares 2 3 3" xfId="54" xr:uid="{00000000-0005-0000-0000-000010000000}"/>
    <cellStyle name="Millares 2 4" xfId="24" xr:uid="{00000000-0005-0000-0000-000011000000}"/>
    <cellStyle name="Millares 2 4 2" xfId="64" xr:uid="{00000000-0005-0000-0000-000012000000}"/>
    <cellStyle name="Millares 2 5" xfId="46" xr:uid="{00000000-0005-0000-0000-000013000000}"/>
    <cellStyle name="Millares 3" xfId="8" xr:uid="{00000000-0005-0000-0000-000014000000}"/>
    <cellStyle name="Millares 3 2" xfId="16" xr:uid="{00000000-0005-0000-0000-000015000000}"/>
    <cellStyle name="Millares 3 2 2" xfId="34" xr:uid="{00000000-0005-0000-0000-000016000000}"/>
    <cellStyle name="Millares 3 2 2 2" xfId="74" xr:uid="{00000000-0005-0000-0000-000017000000}"/>
    <cellStyle name="Millares 3 2 3" xfId="56" xr:uid="{00000000-0005-0000-0000-000018000000}"/>
    <cellStyle name="Millares 3 3" xfId="26" xr:uid="{00000000-0005-0000-0000-000019000000}"/>
    <cellStyle name="Millares 3 3 2" xfId="66" xr:uid="{00000000-0005-0000-0000-00001A000000}"/>
    <cellStyle name="Millares 3 4" xfId="48" xr:uid="{00000000-0005-0000-0000-00001B000000}"/>
    <cellStyle name="Millares 4" xfId="12" xr:uid="{00000000-0005-0000-0000-00001C000000}"/>
    <cellStyle name="Millares 4 2" xfId="30" xr:uid="{00000000-0005-0000-0000-00001D000000}"/>
    <cellStyle name="Millares 4 2 2" xfId="70" xr:uid="{00000000-0005-0000-0000-00001E000000}"/>
    <cellStyle name="Millares 4 3" xfId="52" xr:uid="{00000000-0005-0000-0000-00001F000000}"/>
    <cellStyle name="Millares 5" xfId="4" xr:uid="{00000000-0005-0000-0000-000020000000}"/>
    <cellStyle name="Millares 5 2" xfId="22" xr:uid="{00000000-0005-0000-0000-000021000000}"/>
    <cellStyle name="Millares 5 2 2" xfId="62" xr:uid="{00000000-0005-0000-0000-000022000000}"/>
    <cellStyle name="Millares 5 3" xfId="44" xr:uid="{00000000-0005-0000-0000-000023000000}"/>
    <cellStyle name="Millares 6" xfId="20" xr:uid="{00000000-0005-0000-0000-000024000000}"/>
    <cellStyle name="Millares 6 2" xfId="60" xr:uid="{00000000-0005-0000-0000-000025000000}"/>
    <cellStyle name="Millares 7" xfId="41" xr:uid="{00000000-0005-0000-0000-000026000000}"/>
    <cellStyle name="Moneda" xfId="2" builtinId="4"/>
    <cellStyle name="Moneda 2" xfId="7" xr:uid="{00000000-0005-0000-0000-000028000000}"/>
    <cellStyle name="Moneda 2 2" xfId="11" xr:uid="{00000000-0005-0000-0000-000029000000}"/>
    <cellStyle name="Moneda 2 2 2" xfId="19" xr:uid="{00000000-0005-0000-0000-00002A000000}"/>
    <cellStyle name="Moneda 2 2 2 2" xfId="37" xr:uid="{00000000-0005-0000-0000-00002B000000}"/>
    <cellStyle name="Moneda 2 2 2 2 2" xfId="77" xr:uid="{00000000-0005-0000-0000-00002C000000}"/>
    <cellStyle name="Moneda 2 2 2 3" xfId="59" xr:uid="{00000000-0005-0000-0000-00002D000000}"/>
    <cellStyle name="Moneda 2 2 3" xfId="29" xr:uid="{00000000-0005-0000-0000-00002E000000}"/>
    <cellStyle name="Moneda 2 2 3 2" xfId="69" xr:uid="{00000000-0005-0000-0000-00002F000000}"/>
    <cellStyle name="Moneda 2 2 4" xfId="51" xr:uid="{00000000-0005-0000-0000-000030000000}"/>
    <cellStyle name="Moneda 2 3" xfId="15" xr:uid="{00000000-0005-0000-0000-000031000000}"/>
    <cellStyle name="Moneda 2 3 2" xfId="33" xr:uid="{00000000-0005-0000-0000-000032000000}"/>
    <cellStyle name="Moneda 2 3 2 2" xfId="73" xr:uid="{00000000-0005-0000-0000-000033000000}"/>
    <cellStyle name="Moneda 2 3 3" xfId="55" xr:uid="{00000000-0005-0000-0000-000034000000}"/>
    <cellStyle name="Moneda 2 4" xfId="25" xr:uid="{00000000-0005-0000-0000-000035000000}"/>
    <cellStyle name="Moneda 2 4 2" xfId="65" xr:uid="{00000000-0005-0000-0000-000036000000}"/>
    <cellStyle name="Moneda 2 5" xfId="47" xr:uid="{00000000-0005-0000-0000-000037000000}"/>
    <cellStyle name="Moneda 3" xfId="9" xr:uid="{00000000-0005-0000-0000-000038000000}"/>
    <cellStyle name="Moneda 3 2" xfId="17" xr:uid="{00000000-0005-0000-0000-000039000000}"/>
    <cellStyle name="Moneda 3 2 2" xfId="35" xr:uid="{00000000-0005-0000-0000-00003A000000}"/>
    <cellStyle name="Moneda 3 2 2 2" xfId="75" xr:uid="{00000000-0005-0000-0000-00003B000000}"/>
    <cellStyle name="Moneda 3 2 3" xfId="57" xr:uid="{00000000-0005-0000-0000-00003C000000}"/>
    <cellStyle name="Moneda 3 3" xfId="27" xr:uid="{00000000-0005-0000-0000-00003D000000}"/>
    <cellStyle name="Moneda 3 3 2" xfId="67" xr:uid="{00000000-0005-0000-0000-00003E000000}"/>
    <cellStyle name="Moneda 3 4" xfId="49" xr:uid="{00000000-0005-0000-0000-00003F000000}"/>
    <cellStyle name="Moneda 4" xfId="13" xr:uid="{00000000-0005-0000-0000-000040000000}"/>
    <cellStyle name="Moneda 4 2" xfId="31" xr:uid="{00000000-0005-0000-0000-000041000000}"/>
    <cellStyle name="Moneda 4 2 2" xfId="71" xr:uid="{00000000-0005-0000-0000-000042000000}"/>
    <cellStyle name="Moneda 4 3" xfId="53" xr:uid="{00000000-0005-0000-0000-000043000000}"/>
    <cellStyle name="Moneda 5" xfId="5" xr:uid="{00000000-0005-0000-0000-000044000000}"/>
    <cellStyle name="Moneda 5 2" xfId="23" xr:uid="{00000000-0005-0000-0000-000045000000}"/>
    <cellStyle name="Moneda 5 2 2" xfId="63" xr:uid="{00000000-0005-0000-0000-000046000000}"/>
    <cellStyle name="Moneda 5 3" xfId="45" xr:uid="{00000000-0005-0000-0000-000047000000}"/>
    <cellStyle name="Moneda 6" xfId="21" xr:uid="{00000000-0005-0000-0000-000048000000}"/>
    <cellStyle name="Moneda 6 2" xfId="61" xr:uid="{00000000-0005-0000-0000-000049000000}"/>
    <cellStyle name="Moneda 7" xfId="3" xr:uid="{00000000-0005-0000-0000-00004A000000}"/>
    <cellStyle name="Moneda 7 2" xfId="43" xr:uid="{00000000-0005-0000-0000-00004B000000}"/>
    <cellStyle name="Moneda 8" xfId="42" xr:uid="{00000000-0005-0000-0000-00004C000000}"/>
    <cellStyle name="Normal" xfId="0" builtinId="0"/>
    <cellStyle name="Normal 2" xfId="39" xr:uid="{00000000-0005-0000-0000-00004E000000}"/>
    <cellStyle name="Normal 2 2" xfId="40" xr:uid="{00000000-0005-0000-0000-00004F000000}"/>
    <cellStyle name="Normal 2 2 2" xfId="78" xr:uid="{00000000-0005-0000-0000-000050000000}"/>
    <cellStyle name="Porcentaje" xfId="79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5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5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8"/>
        <color auto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9" formatCode="d/mm/yyyy"/>
      <fill>
        <patternFill patternType="solid">
          <fgColor theme="4"/>
          <bgColor theme="3" tint="-0.24997711111789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dayan Bravo Niño" id="{8BBB9DAE-6395-4428-A507-96D2804360FE}" userId="S::1130589742@Comfandi.com.co::2d644586-c145-4c5a-a494-23718203b5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D" displayName="BD" ref="A1:AL2" insertRow="1" totalsRowShown="0" headerRowDxfId="43" dataDxfId="41" headerRowBorderDxfId="42" tableBorderDxfId="40">
  <autoFilter ref="A1:AL2" xr:uid="{00000000-0009-0000-0100-000001000000}">
    <filterColumn colId="8">
      <filters>
        <filter val="EV06 CURSO COMPETENCIAS TRANSVERSALES (LIDERAZGO TRANSFORMACIONAL)"/>
      </filters>
    </filterColumn>
  </autoFilter>
  <tableColumns count="38">
    <tableColumn id="1" xr3:uid="{00000000-0010-0000-0000-000001000000}" name="Nit" dataDxfId="39"/>
    <tableColumn id="2" xr3:uid="{00000000-0010-0000-0000-000002000000}" name="Empresa" dataDxfId="38"/>
    <tableColumn id="3" xr3:uid="{00000000-0010-0000-0000-000003000000}" name="Cédula" dataDxfId="37"/>
    <tableColumn id="4" xr3:uid="{00000000-0010-0000-0000-000004000000}" name="Nombre Completo" dataDxfId="36"/>
    <tableColumn id="5" xr3:uid="{00000000-0010-0000-0000-000005000000}" name="Dirección" dataDxfId="35"/>
    <tableColumn id="7" xr3:uid="{00000000-0010-0000-0000-000007000000}" name="Teléfono" dataDxfId="34"/>
    <tableColumn id="8" xr3:uid="{00000000-0010-0000-0000-000008000000}" name="Ciudad" dataDxfId="33"/>
    <tableColumn id="9" xr3:uid="{00000000-0010-0000-0000-000009000000}" name="Correo Electrónico" dataDxfId="32"/>
    <tableColumn id="10" xr3:uid="{00000000-0010-0000-0000-00000A000000}" name="Nombre del programa" dataDxfId="31"/>
    <tableColumn id="11" xr3:uid="{00000000-0010-0000-0000-00000B000000}" name="Modalidad" dataDxfId="30" dataCellStyle="Normal 2 2"/>
    <tableColumn id="12" xr3:uid="{00000000-0010-0000-0000-00000C000000}" name="Valor" dataDxfId="29"/>
    <tableColumn id="13" xr3:uid="{00000000-0010-0000-0000-00000D000000}" name="Valor Anticipio 1" dataDxfId="28"/>
    <tableColumn id="14" xr3:uid="{00000000-0010-0000-0000-00000E000000}" name="Valor Anticipio 2" dataDxfId="27"/>
    <tableColumn id="15" xr3:uid="{00000000-0010-0000-0000-00000F000000}" name="Valor Anticipio 3" dataDxfId="26"/>
    <tableColumn id="16" xr3:uid="{00000000-0010-0000-0000-000010000000}" name="% Anticipo 1" dataDxfId="25"/>
    <tableColumn id="17" xr3:uid="{00000000-0010-0000-0000-000011000000}" name="% Anticipo 2" dataDxfId="24"/>
    <tableColumn id="18" xr3:uid="{00000000-0010-0000-0000-000012000000}" name="% Anticipo 3" dataDxfId="23"/>
    <tableColumn id="19" xr3:uid="{00000000-0010-0000-0000-000013000000}" name="Regional Cobro" dataDxfId="22"/>
    <tableColumn id="20" xr3:uid="{00000000-0010-0000-0000-000014000000}" name="Regional domicilio" dataDxfId="21"/>
    <tableColumn id="21" xr3:uid="{00000000-0010-0000-0000-000015000000}" name="Observación_x000a_Beneficiario / Cotizante" dataDxfId="20"/>
    <tableColumn id="22" xr3:uid="{00000000-0010-0000-0000-000016000000}" name="Numero De Documento De Cotizante" dataDxfId="19"/>
    <tableColumn id="23" xr3:uid="{00000000-0010-0000-0000-000017000000}" name="Categoria" dataDxfId="18"/>
    <tableColumn id="24" xr3:uid="{00000000-0010-0000-0000-000018000000}" name="Fecha Validacion Inicial" dataDxfId="17" dataCellStyle="Normal 2"/>
    <tableColumn id="25" xr3:uid="{00000000-0010-0000-0000-000019000000}" name=" Validación / Revalidacion Afiliacion A Caja" dataDxfId="16"/>
    <tableColumn id="26" xr3:uid="{00000000-0010-0000-0000-00001A000000}" name="Validado Por" dataDxfId="15"/>
    <tableColumn id="27" xr3:uid="{00000000-0010-0000-0000-00001B000000}" name="Fecha Envío BD Cobro" dataDxfId="14"/>
    <tableColumn id="6" xr3:uid="{00000000-0010-0000-0000-000006000000}" name="% Avance del programa" dataDxfId="13"/>
    <tableColumn id="28" xr3:uid="{00000000-0010-0000-0000-00001C000000}" name="Fecha de inicio del programa" dataDxfId="12"/>
    <tableColumn id="29" xr3:uid="{00000000-0010-0000-0000-00001D000000}" name="Fecha de finalizacion del programa" dataDxfId="11"/>
    <tableColumn id="30" xr3:uid="{00000000-0010-0000-0000-00001E000000}" name="Fecha De Registro Sise" dataDxfId="10"/>
    <tableColumn id="31" xr3:uid="{00000000-0010-0000-0000-00001F000000}" name="Fecha Evaluación Sise" dataDxfId="9"/>
    <tableColumn id="32" xr3:uid="{00000000-0010-0000-0000-000020000000}" name="Proveedor" dataDxfId="8"/>
    <tableColumn id="33" xr3:uid="{00000000-0010-0000-0000-000021000000}" name="Fecha Remision" dataDxfId="7"/>
    <tableColumn id="34" xr3:uid="{00000000-0010-0000-0000-000022000000}" name="Afiliada" dataDxfId="6"/>
    <tableColumn id="35" xr3:uid="{00000000-0010-0000-0000-000023000000}" name="Fecha de afiliacion" dataDxfId="5"/>
    <tableColumn id="36" xr3:uid="{00000000-0010-0000-0000-000024000000}" name="Fecha validacion afiliacion" dataDxfId="4"/>
    <tableColumn id="37" xr3:uid="{5A217CC4-3E2A-48BC-99A6-AB1234D9A876}" name="Estado parafiscales" dataDxfId="3"/>
    <tableColumn id="38" xr3:uid="{4A9A42CD-6CDD-4321-8A16-F7A1593744B5}" name="Fecha validacion parafiscales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2-11-09T13:28:06.32" personId="{8BBB9DAE-6395-4428-A507-96D2804360FE}" id="{F71FFCF4-6EB8-43FF-908A-9AFEE1314B7E}">
    <text>Seguir el consecutivo en orden</text>
  </threadedComment>
  <threadedComment ref="K2" dT="2022-11-09T13:28:27.48" personId="{8BBB9DAE-6395-4428-A507-96D2804360FE}" id="{3DE09953-51A7-4DB4-9783-6C54C628FC13}">
    <text>No cambiar, son cód de SAP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tabColor theme="9" tint="-0.499984740745262"/>
  </sheetPr>
  <dimension ref="A1:AP2"/>
  <sheetViews>
    <sheetView showGridLines="0" tabSelected="1" zoomScale="87" zoomScaleNormal="87" workbookViewId="0">
      <pane xSplit="5" topLeftCell="F1" activePane="topRight" state="frozen"/>
      <selection pane="topRight" activeCell="H17" sqref="H17"/>
    </sheetView>
  </sheetViews>
  <sheetFormatPr baseColWidth="10" defaultColWidth="20.140625" defaultRowHeight="11.25" x14ac:dyDescent="0.2"/>
  <cols>
    <col min="1" max="1" width="24" style="30" customWidth="1"/>
    <col min="2" max="2" width="17.7109375" style="30" customWidth="1"/>
    <col min="3" max="3" width="17" style="27" customWidth="1"/>
    <col min="4" max="4" width="32.140625" style="30" customWidth="1"/>
    <col min="5" max="5" width="13.28515625" style="30" customWidth="1"/>
    <col min="6" max="6" width="11.5703125" style="30" bestFit="1" customWidth="1"/>
    <col min="7" max="7" width="17.28515625" style="30" bestFit="1" customWidth="1"/>
    <col min="8" max="8" width="39.85546875" style="30" bestFit="1" customWidth="1"/>
    <col min="9" max="9" width="55.85546875" style="30" bestFit="1" customWidth="1"/>
    <col min="10" max="10" width="17.140625" style="18" customWidth="1"/>
    <col min="11" max="11" width="12" style="33" bestFit="1" customWidth="1"/>
    <col min="12" max="12" width="15.42578125" style="27" customWidth="1"/>
    <col min="13" max="13" width="14.85546875" style="27" customWidth="1"/>
    <col min="14" max="19" width="20.140625" style="30"/>
    <col min="20" max="20" width="20.28515625" style="20" bestFit="1" customWidth="1"/>
    <col min="21" max="21" width="20.28515625" style="29" bestFit="1" customWidth="1"/>
    <col min="22" max="22" width="13.7109375" style="28" customWidth="1"/>
    <col min="23" max="23" width="15.140625" style="28" customWidth="1"/>
    <col min="24" max="24" width="14.5703125" style="28" customWidth="1"/>
    <col min="25" max="25" width="18.140625" style="34" customWidth="1"/>
    <col min="26" max="26" width="20.140625" style="27"/>
    <col min="27" max="27" width="20.28515625" style="28" bestFit="1" customWidth="1"/>
    <col min="28" max="33" width="20.140625" style="30"/>
    <col min="34" max="34" width="20.140625" style="35"/>
    <col min="35" max="16384" width="20.140625" style="36"/>
  </cols>
  <sheetData>
    <row r="1" spans="1:42" s="62" customFormat="1" ht="21.75" customHeight="1" x14ac:dyDescent="0.25">
      <c r="A1" s="57" t="s">
        <v>132</v>
      </c>
      <c r="B1" s="57" t="s">
        <v>9</v>
      </c>
      <c r="C1" s="57" t="s">
        <v>10</v>
      </c>
      <c r="D1" s="57" t="s">
        <v>11</v>
      </c>
      <c r="E1" s="57" t="s">
        <v>12</v>
      </c>
      <c r="F1" s="57" t="s">
        <v>13</v>
      </c>
      <c r="G1" s="57" t="s">
        <v>14</v>
      </c>
      <c r="H1" s="57" t="s">
        <v>15</v>
      </c>
      <c r="I1" s="57" t="s">
        <v>16</v>
      </c>
      <c r="J1" s="58" t="s">
        <v>17</v>
      </c>
      <c r="K1" s="58" t="s">
        <v>8</v>
      </c>
      <c r="L1" s="58" t="s">
        <v>133</v>
      </c>
      <c r="M1" s="57" t="s">
        <v>134</v>
      </c>
      <c r="N1" s="57" t="s">
        <v>135</v>
      </c>
      <c r="O1" s="59" t="s">
        <v>136</v>
      </c>
      <c r="P1" s="59" t="s">
        <v>137</v>
      </c>
      <c r="Q1" s="59" t="s">
        <v>138</v>
      </c>
      <c r="R1" s="57" t="s">
        <v>18</v>
      </c>
      <c r="S1" s="57" t="s">
        <v>19</v>
      </c>
      <c r="T1" s="57" t="s">
        <v>20</v>
      </c>
      <c r="U1" s="57" t="s">
        <v>21</v>
      </c>
      <c r="V1" s="57" t="s">
        <v>22</v>
      </c>
      <c r="W1" s="57" t="s">
        <v>23</v>
      </c>
      <c r="X1" s="57" t="s">
        <v>24</v>
      </c>
      <c r="Y1" s="57" t="s">
        <v>25</v>
      </c>
      <c r="Z1" s="57" t="s">
        <v>26</v>
      </c>
      <c r="AA1" s="57" t="s">
        <v>27</v>
      </c>
      <c r="AB1" s="57" t="s">
        <v>28</v>
      </c>
      <c r="AC1" s="57" t="s">
        <v>29</v>
      </c>
      <c r="AD1" s="57" t="s">
        <v>30</v>
      </c>
      <c r="AE1" s="57" t="s">
        <v>31</v>
      </c>
      <c r="AF1" s="60" t="s">
        <v>32</v>
      </c>
      <c r="AG1" s="60" t="s">
        <v>33</v>
      </c>
      <c r="AH1" s="57" t="s">
        <v>34</v>
      </c>
      <c r="AI1" s="57" t="s">
        <v>35</v>
      </c>
      <c r="AJ1" s="57" t="s">
        <v>36</v>
      </c>
      <c r="AK1" s="57" t="s">
        <v>37</v>
      </c>
      <c r="AL1" s="57" t="s">
        <v>38</v>
      </c>
      <c r="AM1" s="57" t="s">
        <v>39</v>
      </c>
      <c r="AN1" s="57" t="s">
        <v>40</v>
      </c>
      <c r="AO1" s="57" t="s">
        <v>41</v>
      </c>
      <c r="AP1" s="61" t="s">
        <v>42</v>
      </c>
    </row>
    <row r="2" spans="1:42" s="19" customFormat="1" x14ac:dyDescent="0.2">
      <c r="C2" s="31"/>
      <c r="D2" s="23"/>
      <c r="F2" s="23"/>
      <c r="G2" s="32"/>
      <c r="I2" s="25"/>
      <c r="J2" s="18"/>
      <c r="K2" s="22"/>
      <c r="L2" s="31"/>
      <c r="M2" s="31"/>
      <c r="T2" s="20"/>
      <c r="U2" s="26"/>
      <c r="V2" s="20"/>
      <c r="W2" s="20"/>
      <c r="X2" s="20"/>
      <c r="Y2" s="21"/>
      <c r="Z2" s="18"/>
      <c r="AA2" s="20"/>
      <c r="AJ2" s="20"/>
      <c r="AK2" s="37"/>
      <c r="AL2" s="37"/>
    </row>
  </sheetData>
  <phoneticPr fontId="2" type="noConversion"/>
  <conditionalFormatting sqref="C1">
    <cfRule type="duplicateValues" dxfId="1" priority="1"/>
  </conditionalFormatting>
  <conditionalFormatting sqref="C2:C1048576">
    <cfRule type="duplicateValues" dxfId="0" priority="839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>
    <tabColor theme="9" tint="0.79998168889431442"/>
  </sheetPr>
  <dimension ref="A2:O9"/>
  <sheetViews>
    <sheetView showGridLines="0" zoomScaleNormal="100" workbookViewId="0">
      <selection activeCell="B2" sqref="B2"/>
    </sheetView>
  </sheetViews>
  <sheetFormatPr baseColWidth="10" defaultColWidth="11.42578125" defaultRowHeight="15" x14ac:dyDescent="0.25"/>
  <cols>
    <col min="1" max="1" width="18" customWidth="1"/>
    <col min="2" max="2" width="27.7109375" customWidth="1"/>
    <col min="3" max="3" width="14.140625" customWidth="1"/>
    <col min="4" max="4" width="23.28515625" style="17" customWidth="1"/>
    <col min="5" max="5" width="18.28515625" style="2" customWidth="1"/>
    <col min="6" max="6" width="19.28515625" style="2" customWidth="1"/>
    <col min="7" max="7" width="16.85546875" customWidth="1"/>
    <col min="8" max="8" width="18" customWidth="1"/>
    <col min="9" max="9" width="12.28515625" customWidth="1"/>
    <col min="10" max="10" width="57.85546875" customWidth="1"/>
    <col min="11" max="11" width="15.28515625" customWidth="1"/>
    <col min="12" max="12" width="9.7109375" customWidth="1"/>
  </cols>
  <sheetData>
    <row r="2" spans="1:15" x14ac:dyDescent="0.25">
      <c r="A2" s="44" t="s">
        <v>43</v>
      </c>
      <c r="B2" s="45" t="s">
        <v>110</v>
      </c>
    </row>
    <row r="3" spans="1:15" x14ac:dyDescent="0.25">
      <c r="A3" s="44"/>
      <c r="B3" s="44" t="s">
        <v>44</v>
      </c>
    </row>
    <row r="4" spans="1:15" x14ac:dyDescent="0.25">
      <c r="A4" s="44"/>
      <c r="B4" s="1" t="s">
        <v>111</v>
      </c>
    </row>
    <row r="5" spans="1:15" x14ac:dyDescent="0.25">
      <c r="A5" s="1"/>
      <c r="B5" s="1" t="s">
        <v>112</v>
      </c>
    </row>
    <row r="6" spans="1:15" x14ac:dyDescent="0.25">
      <c r="A6" s="1" t="s">
        <v>45</v>
      </c>
      <c r="B6" s="16"/>
    </row>
    <row r="9" spans="1:15" ht="30" x14ac:dyDescent="0.25">
      <c r="A9" s="40" t="s">
        <v>18</v>
      </c>
      <c r="B9" s="40" t="s">
        <v>100</v>
      </c>
      <c r="C9" s="40" t="s">
        <v>17</v>
      </c>
      <c r="D9" s="40" t="s">
        <v>113</v>
      </c>
      <c r="E9" s="5" t="s">
        <v>97</v>
      </c>
      <c r="F9" s="5" t="s">
        <v>46</v>
      </c>
      <c r="G9" s="5" t="s">
        <v>1</v>
      </c>
      <c r="H9" s="5" t="s">
        <v>47</v>
      </c>
      <c r="I9" s="24" t="s">
        <v>48</v>
      </c>
      <c r="J9" s="6" t="s">
        <v>49</v>
      </c>
      <c r="K9" s="6" t="s">
        <v>50</v>
      </c>
      <c r="L9" s="5" t="s">
        <v>51</v>
      </c>
      <c r="M9" s="52" t="s">
        <v>101</v>
      </c>
      <c r="N9" s="52" t="s">
        <v>102</v>
      </c>
      <c r="O9" s="52" t="s">
        <v>103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tabColor theme="9" tint="0.79998168889431442"/>
  </sheetPr>
  <dimension ref="A1:AJ2"/>
  <sheetViews>
    <sheetView zoomScaleNormal="100" workbookViewId="0">
      <pane xSplit="1" ySplit="1" topLeftCell="B2" activePane="bottomRight" state="frozen"/>
      <selection pane="topRight" activeCell="I10" sqref="I10"/>
      <selection pane="bottomLeft" activeCell="I10" sqref="I10"/>
      <selection pane="bottomRight" activeCell="D2" sqref="D2"/>
    </sheetView>
  </sheetViews>
  <sheetFormatPr baseColWidth="10" defaultColWidth="11.140625" defaultRowHeight="12.75" x14ac:dyDescent="0.2"/>
  <cols>
    <col min="1" max="1" width="12.42578125" style="7" customWidth="1"/>
    <col min="2" max="2" width="13.42578125" style="7" customWidth="1"/>
    <col min="3" max="3" width="11.140625" style="7" customWidth="1"/>
    <col min="4" max="4" width="8" style="7" customWidth="1"/>
    <col min="5" max="5" width="10.85546875" style="7" customWidth="1"/>
    <col min="6" max="6" width="8.140625" style="7" customWidth="1"/>
    <col min="7" max="7" width="7.7109375" style="7" customWidth="1"/>
    <col min="8" max="8" width="24.42578125" style="7" bestFit="1" customWidth="1"/>
    <col min="9" max="9" width="30.5703125" style="7" customWidth="1"/>
    <col min="10" max="10" width="15.85546875" style="7" customWidth="1"/>
    <col min="11" max="11" width="11" style="7" customWidth="1"/>
    <col min="12" max="12" width="12.140625" style="7" customWidth="1"/>
    <col min="13" max="13" width="12" style="7" customWidth="1"/>
    <col min="14" max="14" width="9.7109375" style="7" bestFit="1" customWidth="1"/>
    <col min="15" max="15" width="12" style="7" customWidth="1"/>
    <col min="16" max="16" width="16.140625" style="8" customWidth="1"/>
    <col min="17" max="17" width="27.5703125" style="7" customWidth="1"/>
    <col min="18" max="18" width="8.5703125" style="7" bestFit="1" customWidth="1"/>
    <col min="19" max="19" width="10" style="7" bestFit="1" customWidth="1"/>
    <col min="20" max="20" width="47.7109375" style="7" bestFit="1" customWidth="1"/>
    <col min="21" max="21" width="18.140625" style="7" bestFit="1" customWidth="1"/>
    <col min="22" max="22" width="52.42578125" style="7" bestFit="1" customWidth="1"/>
    <col min="23" max="23" width="42.85546875" style="7" customWidth="1"/>
    <col min="24" max="24" width="12.85546875" style="7" customWidth="1"/>
    <col min="25" max="25" width="12.42578125" style="7" customWidth="1"/>
    <col min="26" max="26" width="8.85546875" style="7" customWidth="1"/>
    <col min="27" max="27" width="18.5703125" style="7" customWidth="1"/>
    <col min="28" max="36" width="35.7109375" style="7" customWidth="1"/>
    <col min="37" max="16384" width="11.140625" style="7"/>
  </cols>
  <sheetData>
    <row r="1" spans="1:36" s="14" customFormat="1" ht="36.75" customHeight="1" x14ac:dyDescent="0.2">
      <c r="A1" s="9" t="s">
        <v>52</v>
      </c>
      <c r="B1" s="10" t="s">
        <v>53</v>
      </c>
      <c r="C1" s="10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11" t="s">
        <v>61</v>
      </c>
      <c r="K1" s="11" t="s">
        <v>62</v>
      </c>
      <c r="L1" s="9" t="s">
        <v>63</v>
      </c>
      <c r="M1" s="9" t="s">
        <v>64</v>
      </c>
      <c r="N1" s="9" t="s">
        <v>65</v>
      </c>
      <c r="O1" s="11" t="s">
        <v>66</v>
      </c>
      <c r="P1" s="12"/>
      <c r="Q1" s="11" t="s">
        <v>67</v>
      </c>
      <c r="R1" s="9" t="s">
        <v>68</v>
      </c>
      <c r="S1" s="9" t="s">
        <v>69</v>
      </c>
      <c r="T1" s="11" t="s">
        <v>70</v>
      </c>
      <c r="U1" s="13" t="s">
        <v>71</v>
      </c>
      <c r="V1" s="13" t="s">
        <v>72</v>
      </c>
      <c r="W1" s="13" t="s">
        <v>73</v>
      </c>
      <c r="X1" s="11" t="s">
        <v>74</v>
      </c>
      <c r="Y1" s="9" t="s">
        <v>75</v>
      </c>
      <c r="Z1" s="9" t="s">
        <v>76</v>
      </c>
      <c r="AA1" s="11" t="s">
        <v>77</v>
      </c>
      <c r="AB1" s="9" t="s">
        <v>78</v>
      </c>
      <c r="AC1" s="9" t="s">
        <v>79</v>
      </c>
      <c r="AD1" s="9" t="s">
        <v>80</v>
      </c>
      <c r="AE1" s="9" t="s">
        <v>81</v>
      </c>
      <c r="AF1" s="9" t="s">
        <v>82</v>
      </c>
      <c r="AG1" s="9" t="s">
        <v>83</v>
      </c>
      <c r="AH1" s="9" t="s">
        <v>84</v>
      </c>
      <c r="AI1" s="9" t="s">
        <v>85</v>
      </c>
      <c r="AJ1" s="11" t="s">
        <v>86</v>
      </c>
    </row>
    <row r="2" spans="1:36" ht="44.25" customHeight="1" x14ac:dyDescent="0.2">
      <c r="A2" s="9" t="s">
        <v>114</v>
      </c>
      <c r="B2" s="10" t="s">
        <v>115</v>
      </c>
      <c r="C2" s="10" t="s">
        <v>116</v>
      </c>
      <c r="D2" s="9" t="s">
        <v>117</v>
      </c>
      <c r="E2" s="9" t="s">
        <v>118</v>
      </c>
      <c r="F2" s="9" t="s">
        <v>119</v>
      </c>
      <c r="G2" s="9" t="s">
        <v>120</v>
      </c>
      <c r="H2" s="9" t="s">
        <v>121</v>
      </c>
      <c r="I2" s="9" t="s">
        <v>122</v>
      </c>
      <c r="J2" s="11" t="s">
        <v>123</v>
      </c>
      <c r="K2" s="11" t="s">
        <v>124</v>
      </c>
      <c r="L2" s="9" t="s">
        <v>119</v>
      </c>
      <c r="M2" s="9" t="s">
        <v>119</v>
      </c>
      <c r="N2" s="9" t="s">
        <v>119</v>
      </c>
      <c r="O2" s="11" t="s">
        <v>125</v>
      </c>
      <c r="P2" s="12" t="s">
        <v>126</v>
      </c>
      <c r="Q2" s="11" t="s">
        <v>127</v>
      </c>
      <c r="R2" s="9" t="s">
        <v>119</v>
      </c>
      <c r="S2" s="9" t="s">
        <v>119</v>
      </c>
      <c r="T2" s="11" t="s">
        <v>128</v>
      </c>
      <c r="U2" s="13" t="s">
        <v>71</v>
      </c>
      <c r="V2" s="13" t="s">
        <v>72</v>
      </c>
      <c r="W2" s="13" t="s">
        <v>73</v>
      </c>
      <c r="X2" s="11" t="s">
        <v>129</v>
      </c>
      <c r="Y2" s="9" t="s">
        <v>119</v>
      </c>
      <c r="Z2" s="9" t="s">
        <v>119</v>
      </c>
      <c r="AA2" s="11" t="s">
        <v>130</v>
      </c>
      <c r="AB2" s="9" t="s">
        <v>119</v>
      </c>
      <c r="AC2" s="9" t="s">
        <v>119</v>
      </c>
      <c r="AD2" s="9" t="s">
        <v>119</v>
      </c>
      <c r="AE2" s="9" t="s">
        <v>119</v>
      </c>
      <c r="AF2" s="9" t="s">
        <v>119</v>
      </c>
      <c r="AG2" s="9" t="s">
        <v>119</v>
      </c>
      <c r="AH2" s="9" t="s">
        <v>119</v>
      </c>
      <c r="AI2" s="9" t="s">
        <v>119</v>
      </c>
      <c r="AJ2" s="11" t="s">
        <v>131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4626-F51E-45E4-97E9-0B0CC82492A5}">
  <sheetPr codeName="Hoja4">
    <tabColor theme="9" tint="0.79998168889431442"/>
  </sheetPr>
  <dimension ref="A3:M10"/>
  <sheetViews>
    <sheetView workbookViewId="0">
      <selection activeCell="E27" sqref="E27"/>
    </sheetView>
  </sheetViews>
  <sheetFormatPr baseColWidth="10" defaultRowHeight="15" x14ac:dyDescent="0.25"/>
  <cols>
    <col min="1" max="1" width="8" customWidth="1"/>
    <col min="2" max="2" width="9" customWidth="1"/>
    <col min="3" max="3" width="16.85546875" customWidth="1"/>
    <col min="4" max="4" width="24.140625" customWidth="1"/>
    <col min="6" max="6" width="49.5703125" customWidth="1"/>
    <col min="7" max="7" width="25.85546875" customWidth="1"/>
    <col min="8" max="8" width="16" customWidth="1"/>
    <col min="13" max="13" width="13.5703125" customWidth="1"/>
  </cols>
  <sheetData>
    <row r="3" spans="1:13" x14ac:dyDescent="0.25">
      <c r="A3" s="53" t="s">
        <v>104</v>
      </c>
      <c r="B3" s="53" t="s">
        <v>105</v>
      </c>
      <c r="C3" s="53" t="s">
        <v>106</v>
      </c>
      <c r="D3" s="53" t="s">
        <v>71</v>
      </c>
      <c r="E3" s="53" t="s">
        <v>48</v>
      </c>
      <c r="F3" s="53" t="s">
        <v>72</v>
      </c>
      <c r="G3" s="53" t="s">
        <v>107</v>
      </c>
      <c r="H3" s="56" t="s">
        <v>109</v>
      </c>
      <c r="K3" s="54"/>
      <c r="L3" s="54" t="s">
        <v>108</v>
      </c>
      <c r="M3" s="54" t="s">
        <v>105</v>
      </c>
    </row>
    <row r="4" spans="1:13" x14ac:dyDescent="0.25">
      <c r="K4" s="55">
        <v>2705950132</v>
      </c>
      <c r="L4" s="55">
        <v>40</v>
      </c>
      <c r="M4" s="55" t="str">
        <f>L4&amp;K4</f>
        <v>402705950132</v>
      </c>
    </row>
    <row r="5" spans="1:13" x14ac:dyDescent="0.25">
      <c r="K5" s="55">
        <v>4165951003</v>
      </c>
      <c r="L5" s="55">
        <v>50</v>
      </c>
      <c r="M5" s="55" t="str">
        <f t="shared" ref="M5:M6" si="0">L5&amp;K5</f>
        <v>504165951003</v>
      </c>
    </row>
    <row r="6" spans="1:13" x14ac:dyDescent="0.25">
      <c r="K6" s="55"/>
      <c r="L6" s="55"/>
      <c r="M6" s="55" t="str">
        <f t="shared" si="0"/>
        <v/>
      </c>
    </row>
    <row r="7" spans="1:13" x14ac:dyDescent="0.25">
      <c r="K7" s="55"/>
      <c r="L7" s="55"/>
      <c r="M7" s="55"/>
    </row>
    <row r="8" spans="1:13" x14ac:dyDescent="0.25">
      <c r="K8" s="55"/>
      <c r="L8" s="55"/>
      <c r="M8" s="55"/>
    </row>
    <row r="9" spans="1:13" x14ac:dyDescent="0.25">
      <c r="K9" s="55"/>
      <c r="L9" s="55"/>
      <c r="M9" s="55"/>
    </row>
    <row r="10" spans="1:13" x14ac:dyDescent="0.25">
      <c r="K10" s="55"/>
      <c r="L10" s="55"/>
      <c r="M10" s="5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tabColor theme="4"/>
  </sheetPr>
  <dimension ref="B2:M10"/>
  <sheetViews>
    <sheetView showGridLines="0" workbookViewId="0">
      <selection activeCell="H4" sqref="H4"/>
    </sheetView>
  </sheetViews>
  <sheetFormatPr baseColWidth="10" defaultColWidth="11.42578125" defaultRowHeight="15" x14ac:dyDescent="0.25"/>
  <cols>
    <col min="1" max="1" width="3.5703125" customWidth="1"/>
    <col min="2" max="2" width="15.5703125" bestFit="1" customWidth="1"/>
    <col min="4" max="4" width="14.28515625" bestFit="1" customWidth="1"/>
    <col min="5" max="5" width="22.28515625" bestFit="1" customWidth="1"/>
    <col min="6" max="6" width="15.5703125" bestFit="1" customWidth="1"/>
    <col min="11" max="11" width="15" customWidth="1"/>
    <col min="13" max="13" width="18.42578125" customWidth="1"/>
  </cols>
  <sheetData>
    <row r="2" spans="2:13" ht="18.75" x14ac:dyDescent="0.3">
      <c r="B2" s="15" t="s">
        <v>7</v>
      </c>
      <c r="C2" s="15"/>
      <c r="D2" s="15"/>
      <c r="E2" s="15"/>
      <c r="H2" s="51" t="s">
        <v>95</v>
      </c>
      <c r="I2" s="51"/>
      <c r="J2" s="51"/>
      <c r="K2" s="51"/>
      <c r="L2" s="51"/>
      <c r="M2" s="51"/>
    </row>
    <row r="3" spans="2:13" ht="15.75" thickBot="1" x14ac:dyDescent="0.3">
      <c r="H3" s="47"/>
      <c r="I3" s="47"/>
      <c r="J3" s="47"/>
      <c r="K3" s="47"/>
      <c r="L3" s="47"/>
      <c r="M3" s="47"/>
    </row>
    <row r="4" spans="2:13" ht="30.75" thickBot="1" x14ac:dyDescent="0.3">
      <c r="B4" s="3" t="s">
        <v>87</v>
      </c>
      <c r="C4" s="4" t="s">
        <v>48</v>
      </c>
      <c r="D4" s="4" t="s">
        <v>47</v>
      </c>
      <c r="E4" s="38" t="s">
        <v>50</v>
      </c>
      <c r="F4" s="39" t="s">
        <v>87</v>
      </c>
      <c r="H4" s="48" t="s">
        <v>96</v>
      </c>
      <c r="I4" s="50" t="s">
        <v>97</v>
      </c>
      <c r="J4" s="49" t="s">
        <v>17</v>
      </c>
      <c r="K4" s="49" t="s">
        <v>98</v>
      </c>
      <c r="L4" s="49" t="s">
        <v>99</v>
      </c>
      <c r="M4" s="46" t="s">
        <v>47</v>
      </c>
    </row>
    <row r="5" spans="2:13" x14ac:dyDescent="0.25">
      <c r="B5" s="41" t="s">
        <v>2</v>
      </c>
      <c r="C5" s="41" t="s">
        <v>88</v>
      </c>
      <c r="D5" s="41">
        <v>2705950132</v>
      </c>
      <c r="E5" s="42" t="s">
        <v>89</v>
      </c>
      <c r="F5" s="41" t="s">
        <v>2</v>
      </c>
    </row>
    <row r="6" spans="2:13" x14ac:dyDescent="0.25">
      <c r="B6" s="41" t="s">
        <v>3</v>
      </c>
      <c r="C6" s="41" t="s">
        <v>90</v>
      </c>
      <c r="D6" s="41">
        <v>2705950132</v>
      </c>
      <c r="E6" s="43" t="s">
        <v>89</v>
      </c>
      <c r="F6" s="41" t="s">
        <v>3</v>
      </c>
    </row>
    <row r="7" spans="2:13" x14ac:dyDescent="0.25">
      <c r="B7" s="41" t="s">
        <v>4</v>
      </c>
      <c r="C7" s="41" t="s">
        <v>91</v>
      </c>
      <c r="D7" s="41">
        <v>2705950132</v>
      </c>
      <c r="E7" s="43" t="s">
        <v>89</v>
      </c>
      <c r="F7" s="41" t="s">
        <v>4</v>
      </c>
    </row>
    <row r="8" spans="2:13" x14ac:dyDescent="0.25">
      <c r="B8" s="41" t="s">
        <v>5</v>
      </c>
      <c r="C8" s="41" t="s">
        <v>92</v>
      </c>
      <c r="D8" s="41">
        <v>2705950132</v>
      </c>
      <c r="E8" s="43" t="s">
        <v>89</v>
      </c>
      <c r="F8" s="41" t="s">
        <v>5</v>
      </c>
    </row>
    <row r="9" spans="2:13" x14ac:dyDescent="0.25">
      <c r="B9" s="41" t="s">
        <v>6</v>
      </c>
      <c r="C9" s="41" t="s">
        <v>93</v>
      </c>
      <c r="D9" s="41">
        <v>2705950132</v>
      </c>
      <c r="E9" s="43" t="s">
        <v>89</v>
      </c>
      <c r="F9" s="41" t="s">
        <v>6</v>
      </c>
    </row>
    <row r="10" spans="2:13" x14ac:dyDescent="0.25">
      <c r="B10" s="41" t="s">
        <v>0</v>
      </c>
      <c r="C10" s="41" t="s">
        <v>94</v>
      </c>
      <c r="D10" s="41">
        <v>2705950132</v>
      </c>
      <c r="E10" s="43" t="s">
        <v>89</v>
      </c>
      <c r="F10" s="41" t="s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A03CB8-7770-44B8-B051-8A3241187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BD</vt:lpstr>
      <vt:lpstr>Datos plantilla</vt:lpstr>
      <vt:lpstr>Plantilla Amortización</vt:lpstr>
      <vt:lpstr>Validación plantilla</vt:lpstr>
      <vt:lpstr>Tipificación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Heriberto Quintero Soto</dc:creator>
  <cp:keywords/>
  <dc:description/>
  <cp:lastModifiedBy>Diego Fernando Pérez Espinosa</cp:lastModifiedBy>
  <cp:revision/>
  <dcterms:created xsi:type="dcterms:W3CDTF">2020-10-19T19:28:31Z</dcterms:created>
  <dcterms:modified xsi:type="dcterms:W3CDTF">2025-08-23T16:34:23Z</dcterms:modified>
  <cp:category/>
  <cp:contentStatus/>
</cp:coreProperties>
</file>